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1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pedro/Documents/Clientes/Sam/"/>
    </mc:Choice>
  </mc:AlternateContent>
  <xr:revisionPtr revIDLastSave="0" documentId="13_ncr:1_{D6965AED-6679-7E4C-9E9B-0AE790B815EF}" xr6:coauthVersionLast="31" xr6:coauthVersionMax="31" xr10:uidLastSave="{00000000-0000-0000-0000-000000000000}"/>
  <bookViews>
    <workbookView xWindow="1960" yWindow="1560" windowWidth="28040" windowHeight="16060" xr2:uid="{BCA076F8-D9C3-3548-A24B-F1E7DA471E93}"/>
  </bookViews>
  <sheets>
    <sheet name="Macro" sheetId="4" r:id="rId1"/>
    <sheet name="NE" sheetId="1" r:id="rId2"/>
    <sheet name="SE foo" sheetId="2" r:id="rId3"/>
  </sheets>
  <functionGroups builtInGroupCount="19"/>
  <definedNames>
    <definedName name="AreaNames">Table1[Area name]</definedName>
    <definedName name="Holidays">Macro!$I:$I</definedName>
    <definedName name="NEFcastHist">NE!$N$1</definedName>
    <definedName name="NEPrevFcast">NE!$I$3</definedName>
    <definedName name="NextDate">Macro!$D$4</definedName>
    <definedName name="SEFcastHist">'SE foo'!$C$15</definedName>
    <definedName name="SEPrevFcast">'SE foo'!$J$13</definedName>
    <definedName name="ThisDate">Macro!$D$3</definedName>
  </definedNames>
  <calcPr calcId="179017" calcMode="manual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4" l="1"/>
  <c r="D4" i="4" s="1"/>
  <c r="D17" i="4"/>
  <c r="D18" i="4"/>
  <c r="E17" i="4"/>
  <c r="E18" i="4"/>
  <c r="D21" i="4" l="1"/>
  <c r="E15" i="4"/>
  <c r="E16" i="4"/>
  <c r="E19" i="4"/>
  <c r="E20" i="4"/>
  <c r="E21" i="4"/>
  <c r="E14" i="4"/>
  <c r="D15" i="4"/>
  <c r="D16" i="4"/>
  <c r="D19" i="4"/>
  <c r="D20" i="4"/>
  <c r="D14" i="4"/>
  <c r="D17" i="2" l="1"/>
  <c r="D18" i="2" s="1"/>
  <c r="D19" i="2" s="1"/>
  <c r="D20" i="2" s="1"/>
  <c r="D21" i="2" s="1"/>
  <c r="D22" i="2" s="1"/>
  <c r="D23" i="2" s="1"/>
  <c r="D24" i="2" s="1"/>
  <c r="D25" i="2" s="1"/>
  <c r="D26" i="2" s="1"/>
  <c r="D27" i="2" s="1"/>
  <c r="D28" i="2" s="1"/>
  <c r="D29" i="2" s="1"/>
  <c r="D30" i="2" s="1"/>
  <c r="D31" i="2" s="1"/>
  <c r="D32" i="2" s="1"/>
  <c r="D33" i="2" s="1"/>
  <c r="D34" i="2" s="1"/>
  <c r="D35" i="2" s="1"/>
  <c r="D36" i="2" s="1"/>
  <c r="D37" i="2" s="1"/>
  <c r="D38" i="2" s="1"/>
  <c r="D39" i="2" s="1"/>
  <c r="D40" i="2" s="1"/>
  <c r="D41" i="2" s="1"/>
  <c r="D42" i="2" s="1"/>
  <c r="D43" i="2" s="1"/>
  <c r="D44" i="2" s="1"/>
  <c r="D45" i="2" s="1"/>
  <c r="O3" i="1"/>
  <c r="O4" i="1" s="1"/>
  <c r="O5" i="1" s="1"/>
  <c r="O6" i="1" s="1"/>
  <c r="O7" i="1" s="1"/>
  <c r="O8" i="1" s="1"/>
  <c r="O9" i="1" s="1"/>
  <c r="O10" i="1" s="1"/>
  <c r="O11" i="1" s="1"/>
  <c r="O12" i="1" s="1"/>
  <c r="O13" i="1" s="1"/>
  <c r="O14" i="1" s="1"/>
  <c r="O15" i="1" s="1"/>
  <c r="O16" i="1" s="1"/>
  <c r="O17" i="1" s="1"/>
  <c r="O18" i="1" s="1"/>
  <c r="O19" i="1" s="1"/>
  <c r="O20" i="1" s="1"/>
  <c r="O21" i="1" s="1"/>
  <c r="O22" i="1" s="1"/>
  <c r="O23" i="1" s="1"/>
  <c r="O24" i="1" s="1"/>
  <c r="O25" i="1" s="1"/>
  <c r="O26" i="1" s="1"/>
  <c r="O27" i="1" s="1"/>
  <c r="O28" i="1" s="1"/>
  <c r="O29" i="1" s="1"/>
  <c r="O30" i="1" s="1"/>
  <c r="O31" i="1" s="1"/>
</calcChain>
</file>

<file path=xl/sharedStrings.xml><?xml version="1.0" encoding="utf-8"?>
<sst xmlns="http://schemas.openxmlformats.org/spreadsheetml/2006/main" count="138" uniqueCount="46">
  <si>
    <t>Date</t>
  </si>
  <si>
    <t>Old Value</t>
  </si>
  <si>
    <t>New Value</t>
  </si>
  <si>
    <t>Numeros Alvo</t>
  </si>
  <si>
    <t>Datas Alvo</t>
  </si>
  <si>
    <t>D+1</t>
  </si>
  <si>
    <t>D+0</t>
  </si>
  <si>
    <t>D+2</t>
  </si>
  <si>
    <t>D+3</t>
  </si>
  <si>
    <t>D+4</t>
  </si>
  <si>
    <t>D+5</t>
  </si>
  <si>
    <t>D+6</t>
  </si>
  <si>
    <t>D+7</t>
  </si>
  <si>
    <t>D+8</t>
  </si>
  <si>
    <t>D+9</t>
  </si>
  <si>
    <t>D+10</t>
  </si>
  <si>
    <t>D+11</t>
  </si>
  <si>
    <t>D+12</t>
  </si>
  <si>
    <t>D+13</t>
  </si>
  <si>
    <t>D+14</t>
  </si>
  <si>
    <t>D+15</t>
  </si>
  <si>
    <t>D+16</t>
  </si>
  <si>
    <t>Today:</t>
  </si>
  <si>
    <t>Holidays:</t>
  </si>
  <si>
    <t xml:space="preserve">-&gt; </t>
  </si>
  <si>
    <t>proximo dia util</t>
  </si>
  <si>
    <t>Next working day:</t>
  </si>
  <si>
    <t>Presidents Day (Washingtons Birthday)</t>
  </si>
  <si>
    <t>Good Friday</t>
  </si>
  <si>
    <t>Memorial Day</t>
  </si>
  <si>
    <t>Independence Day</t>
  </si>
  <si>
    <t>Labor Day</t>
  </si>
  <si>
    <t>Thanksgiving Day</t>
  </si>
  <si>
    <t>Christmas Day</t>
  </si>
  <si>
    <t>New Year Day</t>
  </si>
  <si>
    <t>Martin Luther King Jr. Day</t>
  </si>
  <si>
    <t>Area name</t>
  </si>
  <si>
    <t>Forecast History Name</t>
  </si>
  <si>
    <t>NE</t>
  </si>
  <si>
    <t>Previous Forecast Name</t>
  </si>
  <si>
    <t>SE</t>
  </si>
  <si>
    <t>Add more areas here:</t>
  </si>
  <si>
    <t>(Your "Define Name" must match these:)</t>
  </si>
  <si>
    <t>("AreaNames" name)</t>
  </si>
  <si>
    <t>&lt;- (ThisDate)</t>
  </si>
  <si>
    <t>&lt;- (NextDate)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</si>
</sst>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24292E"/>
      <name val="Consolas"/>
      <family val="2"/>
    </font>
    <font>
      <b/>
      <sz val="12"/>
      <color rgb="FF00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66CC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14" fontId="0" fillId="0" borderId="0" xfId="0" applyNumberFormat="1"/>
    <xf numFmtId="0" fontId="1" fillId="0" borderId="0" xfId="0" applyFont="1"/>
    <xf numFmtId="0" fontId="0" fillId="2" borderId="0" xfId="0" applyFill="1"/>
    <xf numFmtId="16" fontId="0" fillId="0" borderId="0" xfId="0" applyNumberFormat="1"/>
    <xf numFmtId="0" fontId="0" fillId="0" borderId="0" xfId="0" applyFill="1"/>
    <xf numFmtId="0" fontId="0" fillId="3" borderId="0" xfId="0" applyFill="1"/>
    <xf numFmtId="0" fontId="0" fillId="4" borderId="0" xfId="0" applyFill="1"/>
    <xf numFmtId="0" fontId="0" fillId="0" borderId="0" xfId="0" quotePrefix="1"/>
    <xf numFmtId="14" fontId="2" fillId="0" borderId="0" xfId="0" applyNumberFormat="1" applyFont="1"/>
    <xf numFmtId="0" fontId="0" fillId="5" borderId="0" xfId="0" applyFill="1"/>
    <xf numFmtId="14" fontId="1" fillId="0" borderId="0" xfId="0" applyNumberFormat="1" applyFont="1"/>
    <xf numFmtId="0" fontId="0" fillId="6" borderId="0" xfId="0" applyFill="1"/>
    <xf numFmtId="0" fontId="0" fillId="7" borderId="0" xfId="0" applyFill="1"/>
  </cellXfs>
  <cellStyles count="1">
    <cellStyle name="Normal" xfId="0" builtinId="0"/>
  </cellStyles>
  <dxfs count="2"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584200</xdr:colOff>
          <xdr:row>6</xdr:row>
          <xdr:rowOff>76200</xdr:rowOff>
        </xdr:from>
        <xdr:to>
          <xdr:col>3</xdr:col>
          <xdr:colOff>1282700</xdr:colOff>
          <xdr:row>8</xdr:row>
          <xdr:rowOff>50800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Update Forecast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E349CAF-50AF-0E4E-97E3-92667F108895}" name="Table1" displayName="Table1" ref="C13:E21" totalsRowShown="0" headerRowDxfId="1">
  <autoFilter ref="C13:E21" xr:uid="{3A3467AC-7AB1-F341-97D4-ACF088DD2D1B}"/>
  <tableColumns count="3">
    <tableColumn id="1" xr3:uid="{FF633553-D25A-4349-8F3C-7D141E72EE2F}" name="Area name" dataDxfId="0"/>
    <tableColumn id="2" xr3:uid="{4978C58C-85F4-034C-982C-6FE638568660}" name="Forecast History Name">
      <calculatedColumnFormula>IF($C14&lt;&gt;"",$C14&amp;"FcastHist","")</calculatedColumnFormula>
    </tableColumn>
    <tableColumn id="3" xr3:uid="{C1B0E764-C716-0944-8A9E-8B386FA89237}" name="Previous Forecast Name">
      <calculatedColumnFormula>IF($C14&lt;&gt;"",$C14&amp;"PrevFcast","")</calculatedColumnFormula>
    </tableColumn>
  </tableColumns>
  <tableStyleInfo name="TableStyleLight11" showFirstColumn="1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03A7FC-9E29-8042-9DBC-75A8AC530283}">
  <sheetPr codeName="Sheet3"/>
  <dimension ref="A1:J79"/>
  <sheetViews>
    <sheetView tabSelected="1" workbookViewId="0">
      <selection activeCell="D5" sqref="D5"/>
    </sheetView>
  </sheetViews>
  <sheetFormatPr baseColWidth="10" defaultRowHeight="16"/>
  <cols>
    <col min="3" max="3" width="18.33203125" customWidth="1"/>
    <col min="4" max="4" width="23.1640625" customWidth="1"/>
    <col min="5" max="5" width="23.5" customWidth="1"/>
  </cols>
  <sheetData>
    <row r="1" spans="1:10">
      <c r="H1" t="s">
        <v>23</v>
      </c>
      <c r="I1" s="9">
        <v>40959</v>
      </c>
      <c r="J1" t="s">
        <v>27</v>
      </c>
    </row>
    <row r="2" spans="1:10">
      <c r="I2" s="9">
        <v>41005</v>
      </c>
      <c r="J2" t="s">
        <v>28</v>
      </c>
    </row>
    <row r="3" spans="1:10">
      <c r="C3" s="2" t="s">
        <v>22</v>
      </c>
      <c r="D3" s="11">
        <f ca="1">TODAY()</f>
        <v>43173</v>
      </c>
      <c r="E3" t="s">
        <v>44</v>
      </c>
      <c r="I3" s="9">
        <v>41057</v>
      </c>
      <c r="J3" t="s">
        <v>29</v>
      </c>
    </row>
    <row r="4" spans="1:10">
      <c r="C4" s="2" t="s">
        <v>26</v>
      </c>
      <c r="D4" s="11">
        <f ca="1">WORKDAY(D3,1,Holidays)</f>
        <v>43174</v>
      </c>
      <c r="E4" t="s">
        <v>45</v>
      </c>
      <c r="I4" s="9">
        <v>41094</v>
      </c>
      <c r="J4" t="s">
        <v>30</v>
      </c>
    </row>
    <row r="5" spans="1:10">
      <c r="I5" s="9">
        <v>41155</v>
      </c>
      <c r="J5" t="s">
        <v>31</v>
      </c>
    </row>
    <row r="6" spans="1:10">
      <c r="I6" s="9">
        <v>41235</v>
      </c>
      <c r="J6" t="s">
        <v>32</v>
      </c>
    </row>
    <row r="7" spans="1:10">
      <c r="I7" s="9">
        <v>41268</v>
      </c>
      <c r="J7" t="s">
        <v>33</v>
      </c>
    </row>
    <row r="8" spans="1:10">
      <c r="I8" s="9">
        <v>41275</v>
      </c>
      <c r="J8" t="s">
        <v>34</v>
      </c>
    </row>
    <row r="9" spans="1:10">
      <c r="I9" s="9">
        <v>41295</v>
      </c>
      <c r="J9" t="s">
        <v>35</v>
      </c>
    </row>
    <row r="10" spans="1:10">
      <c r="I10" s="9">
        <v>41323</v>
      </c>
      <c r="J10" t="s">
        <v>27</v>
      </c>
    </row>
    <row r="11" spans="1:10">
      <c r="I11" s="9">
        <v>41362</v>
      </c>
      <c r="J11" t="s">
        <v>28</v>
      </c>
    </row>
    <row r="12" spans="1:10">
      <c r="D12" t="s">
        <v>42</v>
      </c>
      <c r="I12" s="9">
        <v>41421</v>
      </c>
      <c r="J12" t="s">
        <v>29</v>
      </c>
    </row>
    <row r="13" spans="1:10">
      <c r="C13" s="2" t="s">
        <v>36</v>
      </c>
      <c r="D13" s="2" t="s">
        <v>37</v>
      </c>
      <c r="E13" s="2" t="s">
        <v>39</v>
      </c>
      <c r="I13" s="9">
        <v>41459</v>
      </c>
      <c r="J13" t="s">
        <v>30</v>
      </c>
    </row>
    <row r="14" spans="1:10">
      <c r="C14" s="10" t="s">
        <v>38</v>
      </c>
      <c r="D14" t="str">
        <f>IF($C14&lt;&gt;"",$C14&amp;"FcastHist","")</f>
        <v>NEFcastHist</v>
      </c>
      <c r="E14" t="str">
        <f t="shared" ref="E14:E21" si="0">IF($C14&lt;&gt;"",$C14&amp;"PrevFcast","")</f>
        <v>NEPrevFcast</v>
      </c>
      <c r="I14" s="9">
        <v>41519</v>
      </c>
      <c r="J14" t="s">
        <v>31</v>
      </c>
    </row>
    <row r="15" spans="1:10">
      <c r="C15" s="10" t="s">
        <v>40</v>
      </c>
      <c r="D15" t="str">
        <f t="shared" ref="D15:D21" si="1">IF($C15&lt;&gt;"",$C15&amp;"FcastHist","")</f>
        <v>SEFcastHist</v>
      </c>
      <c r="E15" t="str">
        <f t="shared" si="0"/>
        <v>SEPrevFcast</v>
      </c>
      <c r="I15" s="9">
        <v>41606</v>
      </c>
      <c r="J15" t="s">
        <v>32</v>
      </c>
    </row>
    <row r="16" spans="1:10">
      <c r="A16" t="s">
        <v>41</v>
      </c>
      <c r="C16" s="10"/>
      <c r="D16" t="str">
        <f t="shared" si="1"/>
        <v/>
      </c>
      <c r="E16" t="str">
        <f t="shared" si="0"/>
        <v/>
      </c>
      <c r="I16" s="9">
        <v>41633</v>
      </c>
      <c r="J16" t="s">
        <v>33</v>
      </c>
    </row>
    <row r="17" spans="1:10">
      <c r="A17" t="s">
        <v>43</v>
      </c>
      <c r="C17" s="10"/>
      <c r="D17" t="str">
        <f t="shared" ref="D17:D18" si="2">IF($C17&lt;&gt;"",$C17&amp;"FcastHist","")</f>
        <v/>
      </c>
      <c r="E17" t="str">
        <f t="shared" ref="E17:E18" si="3">IF($C17&lt;&gt;"",$C17&amp;"PrevFcast","")</f>
        <v/>
      </c>
      <c r="I17" s="9">
        <v>41640</v>
      </c>
      <c r="J17" t="s">
        <v>34</v>
      </c>
    </row>
    <row r="18" spans="1:10">
      <c r="C18" s="10"/>
      <c r="D18" t="str">
        <f t="shared" si="2"/>
        <v/>
      </c>
      <c r="E18" t="str">
        <f t="shared" si="3"/>
        <v/>
      </c>
      <c r="I18" s="9">
        <v>41659</v>
      </c>
      <c r="J18" t="s">
        <v>35</v>
      </c>
    </row>
    <row r="19" spans="1:10">
      <c r="C19" s="10"/>
      <c r="D19" t="str">
        <f t="shared" si="1"/>
        <v/>
      </c>
      <c r="E19" t="str">
        <f t="shared" si="0"/>
        <v/>
      </c>
      <c r="I19" s="9">
        <v>41687</v>
      </c>
      <c r="J19" t="s">
        <v>27</v>
      </c>
    </row>
    <row r="20" spans="1:10">
      <c r="C20" s="10"/>
      <c r="D20" t="str">
        <f t="shared" si="1"/>
        <v/>
      </c>
      <c r="E20" t="str">
        <f t="shared" si="0"/>
        <v/>
      </c>
      <c r="I20" s="9">
        <v>41747</v>
      </c>
      <c r="J20" t="s">
        <v>28</v>
      </c>
    </row>
    <row r="21" spans="1:10">
      <c r="C21" s="10"/>
      <c r="D21" t="str">
        <f t="shared" si="1"/>
        <v/>
      </c>
      <c r="E21" t="str">
        <f t="shared" si="0"/>
        <v/>
      </c>
      <c r="I21" s="9">
        <v>41785</v>
      </c>
      <c r="J21" t="s">
        <v>29</v>
      </c>
    </row>
    <row r="22" spans="1:10">
      <c r="I22" s="9">
        <v>41824</v>
      </c>
      <c r="J22" t="s">
        <v>30</v>
      </c>
    </row>
    <row r="23" spans="1:10">
      <c r="I23" s="9">
        <v>41883</v>
      </c>
      <c r="J23" t="s">
        <v>31</v>
      </c>
    </row>
    <row r="24" spans="1:10">
      <c r="I24" s="9">
        <v>41970</v>
      </c>
      <c r="J24" t="s">
        <v>32</v>
      </c>
    </row>
    <row r="25" spans="1:10">
      <c r="I25" s="9">
        <v>41998</v>
      </c>
      <c r="J25" t="s">
        <v>33</v>
      </c>
    </row>
    <row r="26" spans="1:10">
      <c r="I26" s="9">
        <v>42005</v>
      </c>
      <c r="J26" t="s">
        <v>34</v>
      </c>
    </row>
    <row r="27" spans="1:10">
      <c r="I27" s="9">
        <v>42023</v>
      </c>
      <c r="J27" t="s">
        <v>35</v>
      </c>
    </row>
    <row r="28" spans="1:10">
      <c r="I28" s="9">
        <v>42051</v>
      </c>
      <c r="J28" t="s">
        <v>27</v>
      </c>
    </row>
    <row r="29" spans="1:10">
      <c r="I29" s="9">
        <v>42097</v>
      </c>
      <c r="J29" t="s">
        <v>28</v>
      </c>
    </row>
    <row r="30" spans="1:10">
      <c r="I30" s="9">
        <v>42149</v>
      </c>
      <c r="J30" t="s">
        <v>29</v>
      </c>
    </row>
    <row r="31" spans="1:10">
      <c r="I31" s="9">
        <v>42188</v>
      </c>
      <c r="J31" t="s">
        <v>30</v>
      </c>
    </row>
    <row r="32" spans="1:10">
      <c r="I32" s="9">
        <v>42254</v>
      </c>
      <c r="J32" t="s">
        <v>31</v>
      </c>
    </row>
    <row r="33" spans="9:10">
      <c r="I33" s="9">
        <v>42334</v>
      </c>
      <c r="J33" t="s">
        <v>32</v>
      </c>
    </row>
    <row r="34" spans="9:10">
      <c r="I34" s="9">
        <v>42363</v>
      </c>
      <c r="J34" t="s">
        <v>33</v>
      </c>
    </row>
    <row r="35" spans="9:10">
      <c r="I35" s="9">
        <v>42370</v>
      </c>
      <c r="J35" t="s">
        <v>34</v>
      </c>
    </row>
    <row r="36" spans="9:10">
      <c r="I36" s="9">
        <v>42387</v>
      </c>
      <c r="J36" t="s">
        <v>35</v>
      </c>
    </row>
    <row r="37" spans="9:10">
      <c r="I37" s="9">
        <v>42415</v>
      </c>
      <c r="J37" t="s">
        <v>27</v>
      </c>
    </row>
    <row r="38" spans="9:10">
      <c r="I38" s="9">
        <v>42454</v>
      </c>
      <c r="J38" t="s">
        <v>28</v>
      </c>
    </row>
    <row r="39" spans="9:10">
      <c r="I39" s="9">
        <v>42520</v>
      </c>
      <c r="J39" t="s">
        <v>29</v>
      </c>
    </row>
    <row r="40" spans="9:10">
      <c r="I40" s="9">
        <v>42555</v>
      </c>
      <c r="J40" t="s">
        <v>30</v>
      </c>
    </row>
    <row r="41" spans="9:10">
      <c r="I41" s="9">
        <v>42618</v>
      </c>
      <c r="J41" t="s">
        <v>31</v>
      </c>
    </row>
    <row r="42" spans="9:10">
      <c r="I42" s="9">
        <v>42698</v>
      </c>
      <c r="J42" t="s">
        <v>32</v>
      </c>
    </row>
    <row r="43" spans="9:10">
      <c r="I43" s="9">
        <v>42729</v>
      </c>
      <c r="J43" t="s">
        <v>33</v>
      </c>
    </row>
    <row r="44" spans="9:10">
      <c r="I44" s="9">
        <v>42737</v>
      </c>
      <c r="J44" t="s">
        <v>34</v>
      </c>
    </row>
    <row r="45" spans="9:10">
      <c r="I45" s="9">
        <v>42751</v>
      </c>
      <c r="J45" t="s">
        <v>35</v>
      </c>
    </row>
    <row r="46" spans="9:10">
      <c r="I46" s="9">
        <v>42786</v>
      </c>
      <c r="J46" t="s">
        <v>27</v>
      </c>
    </row>
    <row r="47" spans="9:10">
      <c r="I47" s="9">
        <v>42839</v>
      </c>
      <c r="J47" t="s">
        <v>28</v>
      </c>
    </row>
    <row r="48" spans="9:10">
      <c r="I48" s="9">
        <v>42884</v>
      </c>
      <c r="J48" t="s">
        <v>29</v>
      </c>
    </row>
    <row r="49" spans="9:10">
      <c r="I49" s="9">
        <v>42920</v>
      </c>
      <c r="J49" t="s">
        <v>30</v>
      </c>
    </row>
    <row r="50" spans="9:10">
      <c r="I50" s="9">
        <v>42982</v>
      </c>
      <c r="J50" t="s">
        <v>31</v>
      </c>
    </row>
    <row r="51" spans="9:10">
      <c r="I51" s="9">
        <v>43062</v>
      </c>
      <c r="J51" t="s">
        <v>32</v>
      </c>
    </row>
    <row r="52" spans="9:10">
      <c r="I52" s="9">
        <v>43094</v>
      </c>
      <c r="J52" t="s">
        <v>33</v>
      </c>
    </row>
    <row r="53" spans="9:10">
      <c r="I53" s="9">
        <v>43101</v>
      </c>
      <c r="J53" t="s">
        <v>34</v>
      </c>
    </row>
    <row r="54" spans="9:10">
      <c r="I54" s="9">
        <v>43115</v>
      </c>
      <c r="J54" t="s">
        <v>35</v>
      </c>
    </row>
    <row r="55" spans="9:10">
      <c r="I55" s="9">
        <v>43150</v>
      </c>
      <c r="J55" t="s">
        <v>27</v>
      </c>
    </row>
    <row r="56" spans="9:10">
      <c r="I56" s="9">
        <v>43189</v>
      </c>
      <c r="J56" t="s">
        <v>28</v>
      </c>
    </row>
    <row r="57" spans="9:10">
      <c r="I57" s="9">
        <v>43248</v>
      </c>
      <c r="J57" t="s">
        <v>29</v>
      </c>
    </row>
    <row r="58" spans="9:10">
      <c r="I58" s="9">
        <v>43285</v>
      </c>
      <c r="J58" t="s">
        <v>30</v>
      </c>
    </row>
    <row r="59" spans="9:10">
      <c r="I59" s="9">
        <v>43346</v>
      </c>
      <c r="J59" t="s">
        <v>31</v>
      </c>
    </row>
    <row r="60" spans="9:10">
      <c r="I60" s="9">
        <v>43426</v>
      </c>
      <c r="J60" t="s">
        <v>32</v>
      </c>
    </row>
    <row r="61" spans="9:10">
      <c r="I61" s="9">
        <v>43459</v>
      </c>
      <c r="J61" t="s">
        <v>33</v>
      </c>
    </row>
    <row r="62" spans="9:10">
      <c r="I62" s="9">
        <v>43466</v>
      </c>
      <c r="J62" t="s">
        <v>34</v>
      </c>
    </row>
    <row r="63" spans="9:10">
      <c r="I63" s="9">
        <v>43486</v>
      </c>
      <c r="J63" t="s">
        <v>35</v>
      </c>
    </row>
    <row r="64" spans="9:10">
      <c r="I64" s="9">
        <v>43514</v>
      </c>
      <c r="J64" t="s">
        <v>27</v>
      </c>
    </row>
    <row r="65" spans="9:10">
      <c r="I65" s="9">
        <v>43574</v>
      </c>
      <c r="J65" t="s">
        <v>28</v>
      </c>
    </row>
    <row r="66" spans="9:10">
      <c r="I66" s="9">
        <v>43612</v>
      </c>
      <c r="J66" t="s">
        <v>29</v>
      </c>
    </row>
    <row r="67" spans="9:10">
      <c r="I67" s="9">
        <v>43650</v>
      </c>
      <c r="J67" t="s">
        <v>30</v>
      </c>
    </row>
    <row r="68" spans="9:10">
      <c r="I68" s="9">
        <v>43710</v>
      </c>
      <c r="J68" t="s">
        <v>31</v>
      </c>
    </row>
    <row r="69" spans="9:10">
      <c r="I69" s="9">
        <v>43797</v>
      </c>
      <c r="J69" t="s">
        <v>32</v>
      </c>
    </row>
    <row r="70" spans="9:10">
      <c r="I70" s="9">
        <v>43824</v>
      </c>
      <c r="J70" t="s">
        <v>33</v>
      </c>
    </row>
    <row r="71" spans="9:10">
      <c r="I71" s="9">
        <v>43831</v>
      </c>
      <c r="J71" t="s">
        <v>34</v>
      </c>
    </row>
    <row r="72" spans="9:10">
      <c r="I72" s="9">
        <v>43850</v>
      </c>
      <c r="J72" t="s">
        <v>35</v>
      </c>
    </row>
    <row r="73" spans="9:10">
      <c r="I73" s="9">
        <v>43878</v>
      </c>
      <c r="J73" t="s">
        <v>27</v>
      </c>
    </row>
    <row r="74" spans="9:10">
      <c r="I74" s="9">
        <v>43931</v>
      </c>
      <c r="J74" t="s">
        <v>28</v>
      </c>
    </row>
    <row r="75" spans="9:10">
      <c r="I75" s="9">
        <v>43976</v>
      </c>
      <c r="J75" t="s">
        <v>29</v>
      </c>
    </row>
    <row r="76" spans="9:10">
      <c r="I76" s="9">
        <v>44015</v>
      </c>
      <c r="J76" t="s">
        <v>30</v>
      </c>
    </row>
    <row r="77" spans="9:10">
      <c r="I77" s="9">
        <v>44081</v>
      </c>
      <c r="J77" t="s">
        <v>31</v>
      </c>
    </row>
    <row r="78" spans="9:10">
      <c r="I78" s="9">
        <v>44161</v>
      </c>
      <c r="J78" t="s">
        <v>32</v>
      </c>
    </row>
    <row r="79" spans="9:10">
      <c r="I79" s="9">
        <v>44190</v>
      </c>
      <c r="J79" t="s">
        <v>33</v>
      </c>
    </row>
  </sheetData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ThisWorkbook.UpdateForecast">
                <anchor moveWithCells="1" sizeWithCells="1">
                  <from>
                    <xdr:col>2</xdr:col>
                    <xdr:colOff>584200</xdr:colOff>
                    <xdr:row>6</xdr:row>
                    <xdr:rowOff>76200</xdr:rowOff>
                  </from>
                  <to>
                    <xdr:col>3</xdr:col>
                    <xdr:colOff>1282700</xdr:colOff>
                    <xdr:row>8</xdr:row>
                    <xdr:rowOff>50800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9BE99-7F83-6F46-A1A2-5F19745E629E}">
  <sheetPr codeName="Sheet1"/>
  <dimension ref="E1:P31"/>
  <sheetViews>
    <sheetView topLeftCell="D1" zoomScale="120" zoomScaleNormal="120" workbookViewId="0">
      <selection activeCell="R12" sqref="R12"/>
    </sheetView>
  </sheetViews>
  <sheetFormatPr baseColWidth="10" defaultRowHeight="16"/>
  <sheetData>
    <row r="1" spans="5:16" s="2" customFormat="1">
      <c r="N1" s="2" t="s">
        <v>0</v>
      </c>
      <c r="O1" s="2" t="s">
        <v>2</v>
      </c>
      <c r="P1" s="2" t="s">
        <v>1</v>
      </c>
    </row>
    <row r="2" spans="5:16">
      <c r="H2" t="s">
        <v>4</v>
      </c>
      <c r="I2" t="s">
        <v>3</v>
      </c>
      <c r="N2" s="1">
        <v>43160</v>
      </c>
      <c r="O2">
        <v>500</v>
      </c>
      <c r="P2" s="3">
        <v>500</v>
      </c>
    </row>
    <row r="3" spans="5:16">
      <c r="F3" t="s">
        <v>25</v>
      </c>
      <c r="G3" s="8" t="s">
        <v>24</v>
      </c>
      <c r="H3" t="s">
        <v>6</v>
      </c>
      <c r="I3">
        <v>515</v>
      </c>
      <c r="N3" s="1">
        <v>43161</v>
      </c>
      <c r="O3">
        <f ca="1">O2+RANDBETWEEN(-8,8)</f>
        <v>494</v>
      </c>
      <c r="P3" s="3">
        <v>500</v>
      </c>
    </row>
    <row r="4" spans="5:16">
      <c r="H4" t="s">
        <v>5</v>
      </c>
      <c r="I4">
        <v>516</v>
      </c>
      <c r="N4" s="1">
        <v>43162</v>
      </c>
      <c r="O4">
        <f t="shared" ref="O4:O31" ca="1" si="0">O3+RANDBETWEEN(-8,8)</f>
        <v>497</v>
      </c>
      <c r="P4" s="3">
        <v>494</v>
      </c>
    </row>
    <row r="5" spans="5:16">
      <c r="H5" t="s">
        <v>7</v>
      </c>
      <c r="I5">
        <v>523</v>
      </c>
      <c r="N5" s="1">
        <v>43163</v>
      </c>
      <c r="O5">
        <f t="shared" ca="1" si="0"/>
        <v>504</v>
      </c>
      <c r="P5" s="3">
        <v>492</v>
      </c>
    </row>
    <row r="6" spans="5:16">
      <c r="H6" t="s">
        <v>8</v>
      </c>
      <c r="I6">
        <v>527</v>
      </c>
      <c r="N6" s="1">
        <v>43164</v>
      </c>
      <c r="O6">
        <f t="shared" ca="1" si="0"/>
        <v>508</v>
      </c>
      <c r="P6" s="3">
        <v>484</v>
      </c>
    </row>
    <row r="7" spans="5:16">
      <c r="H7" t="s">
        <v>9</v>
      </c>
      <c r="I7">
        <v>521</v>
      </c>
      <c r="N7" s="1">
        <v>43165</v>
      </c>
      <c r="O7">
        <f t="shared" ca="1" si="0"/>
        <v>508</v>
      </c>
      <c r="P7" s="3">
        <v>488</v>
      </c>
    </row>
    <row r="8" spans="5:16">
      <c r="H8" t="s">
        <v>10</v>
      </c>
      <c r="I8">
        <v>513</v>
      </c>
      <c r="N8" s="1">
        <v>43166</v>
      </c>
      <c r="O8">
        <f t="shared" ca="1" si="0"/>
        <v>514</v>
      </c>
      <c r="P8" s="3">
        <v>493</v>
      </c>
    </row>
    <row r="9" spans="5:16">
      <c r="H9" t="s">
        <v>11</v>
      </c>
      <c r="I9">
        <v>507</v>
      </c>
      <c r="N9" s="1">
        <v>43167</v>
      </c>
      <c r="O9">
        <f t="shared" ca="1" si="0"/>
        <v>512</v>
      </c>
      <c r="P9" s="3">
        <v>494</v>
      </c>
    </row>
    <row r="10" spans="5:16">
      <c r="H10" t="s">
        <v>12</v>
      </c>
      <c r="I10">
        <v>513</v>
      </c>
      <c r="N10" s="1">
        <v>43168</v>
      </c>
      <c r="O10">
        <f t="shared" ca="1" si="0"/>
        <v>517</v>
      </c>
      <c r="P10" s="3">
        <v>488</v>
      </c>
    </row>
    <row r="11" spans="5:16">
      <c r="H11" t="s">
        <v>13</v>
      </c>
      <c r="I11">
        <v>516</v>
      </c>
      <c r="N11" s="1">
        <v>43169</v>
      </c>
      <c r="O11">
        <f t="shared" ca="1" si="0"/>
        <v>513</v>
      </c>
      <c r="P11" s="3">
        <v>479</v>
      </c>
    </row>
    <row r="12" spans="5:16">
      <c r="E12" s="4">
        <v>43171</v>
      </c>
      <c r="H12" t="s">
        <v>14</v>
      </c>
      <c r="I12">
        <v>519</v>
      </c>
      <c r="N12" s="1">
        <v>43170</v>
      </c>
      <c r="O12">
        <f t="shared" ca="1" si="0"/>
        <v>517</v>
      </c>
      <c r="P12" s="3">
        <v>486</v>
      </c>
    </row>
    <row r="13" spans="5:16">
      <c r="E13" s="1">
        <v>43172</v>
      </c>
      <c r="F13">
        <v>531</v>
      </c>
      <c r="H13" t="s">
        <v>15</v>
      </c>
      <c r="I13">
        <v>518</v>
      </c>
      <c r="N13" s="1">
        <v>43171</v>
      </c>
      <c r="O13">
        <f t="shared" ca="1" si="0"/>
        <v>509</v>
      </c>
      <c r="P13" s="3">
        <v>512</v>
      </c>
    </row>
    <row r="14" spans="5:16">
      <c r="E14" s="1">
        <v>43173</v>
      </c>
      <c r="F14">
        <v>536</v>
      </c>
      <c r="H14" t="s">
        <v>16</v>
      </c>
      <c r="I14">
        <v>523</v>
      </c>
      <c r="N14" s="1">
        <v>43172</v>
      </c>
      <c r="O14">
        <f t="shared" ca="1" si="0"/>
        <v>512</v>
      </c>
      <c r="P14" s="3">
        <v>515</v>
      </c>
    </row>
    <row r="15" spans="5:16">
      <c r="E15" s="1">
        <v>43174</v>
      </c>
      <c r="F15">
        <v>539</v>
      </c>
      <c r="H15" t="s">
        <v>17</v>
      </c>
      <c r="I15">
        <v>515</v>
      </c>
      <c r="N15" s="1">
        <v>43173</v>
      </c>
      <c r="O15">
        <f t="shared" ca="1" si="0"/>
        <v>515</v>
      </c>
      <c r="P15" s="12">
        <v>515</v>
      </c>
    </row>
    <row r="16" spans="5:16">
      <c r="E16" s="1">
        <v>43175</v>
      </c>
      <c r="F16">
        <v>540</v>
      </c>
      <c r="H16" t="s">
        <v>18</v>
      </c>
      <c r="I16">
        <v>520</v>
      </c>
      <c r="N16" s="1">
        <v>43174</v>
      </c>
      <c r="O16">
        <f t="shared" ca="1" si="0"/>
        <v>515</v>
      </c>
      <c r="P16" s="12">
        <v>515</v>
      </c>
    </row>
    <row r="17" spans="5:16">
      <c r="E17" s="1">
        <v>43176</v>
      </c>
      <c r="F17">
        <v>543</v>
      </c>
      <c r="H17" t="s">
        <v>19</v>
      </c>
      <c r="I17">
        <v>523</v>
      </c>
      <c r="N17" s="1">
        <v>43175</v>
      </c>
      <c r="O17">
        <f t="shared" ca="1" si="0"/>
        <v>516</v>
      </c>
      <c r="P17" s="12">
        <v>516</v>
      </c>
    </row>
    <row r="18" spans="5:16">
      <c r="E18" s="1">
        <v>43177</v>
      </c>
      <c r="F18">
        <v>537</v>
      </c>
      <c r="H18" t="s">
        <v>20</v>
      </c>
      <c r="I18">
        <v>524</v>
      </c>
      <c r="N18" s="1">
        <v>43176</v>
      </c>
      <c r="O18">
        <f t="shared" ca="1" si="0"/>
        <v>523</v>
      </c>
      <c r="P18" s="12">
        <v>523</v>
      </c>
    </row>
    <row r="19" spans="5:16">
      <c r="E19" s="1">
        <v>43178</v>
      </c>
      <c r="F19">
        <v>542</v>
      </c>
      <c r="H19" t="s">
        <v>21</v>
      </c>
      <c r="N19" s="1">
        <v>43177</v>
      </c>
      <c r="O19">
        <f t="shared" ca="1" si="0"/>
        <v>527</v>
      </c>
      <c r="P19" s="12">
        <v>527</v>
      </c>
    </row>
    <row r="20" spans="5:16">
      <c r="E20" s="1">
        <v>43179</v>
      </c>
      <c r="F20">
        <v>543</v>
      </c>
      <c r="N20" s="1">
        <v>43178</v>
      </c>
      <c r="O20">
        <f t="shared" ca="1" si="0"/>
        <v>521</v>
      </c>
      <c r="P20" s="12">
        <v>521</v>
      </c>
    </row>
    <row r="21" spans="5:16">
      <c r="E21" s="1">
        <v>43180</v>
      </c>
      <c r="F21">
        <v>547</v>
      </c>
      <c r="N21" s="1">
        <v>43179</v>
      </c>
      <c r="O21">
        <f t="shared" ca="1" si="0"/>
        <v>513</v>
      </c>
      <c r="P21" s="12">
        <v>513</v>
      </c>
    </row>
    <row r="22" spans="5:16">
      <c r="E22" s="1">
        <v>43181</v>
      </c>
      <c r="F22">
        <v>543</v>
      </c>
      <c r="N22" s="1">
        <v>43180</v>
      </c>
      <c r="O22">
        <f t="shared" ca="1" si="0"/>
        <v>507</v>
      </c>
      <c r="P22" s="12">
        <v>507</v>
      </c>
    </row>
    <row r="23" spans="5:16">
      <c r="E23" s="1">
        <v>43182</v>
      </c>
      <c r="F23">
        <v>550</v>
      </c>
      <c r="N23" s="1">
        <v>43181</v>
      </c>
      <c r="O23">
        <f t="shared" ca="1" si="0"/>
        <v>513</v>
      </c>
      <c r="P23">
        <v>513</v>
      </c>
    </row>
    <row r="24" spans="5:16">
      <c r="E24" s="1">
        <v>43183</v>
      </c>
      <c r="F24">
        <v>548</v>
      </c>
      <c r="N24" s="1">
        <v>43182</v>
      </c>
      <c r="O24">
        <f t="shared" ca="1" si="0"/>
        <v>516</v>
      </c>
      <c r="P24">
        <v>516</v>
      </c>
    </row>
    <row r="25" spans="5:16">
      <c r="E25" s="1">
        <v>43184</v>
      </c>
      <c r="F25">
        <v>541</v>
      </c>
      <c r="N25" s="1">
        <v>43183</v>
      </c>
      <c r="O25">
        <f t="shared" ca="1" si="0"/>
        <v>519</v>
      </c>
      <c r="P25">
        <v>519</v>
      </c>
    </row>
    <row r="26" spans="5:16">
      <c r="E26" s="1">
        <v>43185</v>
      </c>
      <c r="F26">
        <v>536</v>
      </c>
      <c r="N26" s="1">
        <v>43184</v>
      </c>
      <c r="O26">
        <f t="shared" ca="1" si="0"/>
        <v>518</v>
      </c>
      <c r="P26">
        <v>518</v>
      </c>
    </row>
    <row r="27" spans="5:16">
      <c r="E27" s="1">
        <v>43186</v>
      </c>
      <c r="F27">
        <v>535</v>
      </c>
      <c r="N27" s="1">
        <v>43185</v>
      </c>
      <c r="O27">
        <f t="shared" ca="1" si="0"/>
        <v>523</v>
      </c>
      <c r="P27">
        <v>523</v>
      </c>
    </row>
    <row r="28" spans="5:16">
      <c r="E28" s="1">
        <v>43187</v>
      </c>
      <c r="F28">
        <v>531</v>
      </c>
      <c r="N28" s="1">
        <v>43186</v>
      </c>
      <c r="O28">
        <f t="shared" ca="1" si="0"/>
        <v>515</v>
      </c>
      <c r="P28">
        <v>515</v>
      </c>
    </row>
    <row r="29" spans="5:16">
      <c r="E29" s="1">
        <v>43188</v>
      </c>
      <c r="F29">
        <v>527</v>
      </c>
      <c r="N29" s="1">
        <v>43187</v>
      </c>
      <c r="O29">
        <f t="shared" ca="1" si="0"/>
        <v>520</v>
      </c>
      <c r="P29">
        <v>520</v>
      </c>
    </row>
    <row r="30" spans="5:16">
      <c r="E30" s="1">
        <v>43189</v>
      </c>
      <c r="F30">
        <v>497</v>
      </c>
      <c r="N30" s="1">
        <v>43188</v>
      </c>
      <c r="O30">
        <f t="shared" ca="1" si="0"/>
        <v>523</v>
      </c>
      <c r="P30">
        <v>523</v>
      </c>
    </row>
    <row r="31" spans="5:16">
      <c r="N31" s="1">
        <v>43189</v>
      </c>
      <c r="O31">
        <f t="shared" ca="1" si="0"/>
        <v>524</v>
      </c>
      <c r="P31">
        <v>524</v>
      </c>
    </row>
  </sheetData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EF123C-673F-C14C-ADDF-0505DF0327BC}">
  <sheetPr codeName="Sheet2"/>
  <dimension ref="C12:J45"/>
  <sheetViews>
    <sheetView topLeftCell="A10" workbookViewId="0">
      <selection activeCell="F29" sqref="F29"/>
    </sheetView>
  </sheetViews>
  <sheetFormatPr baseColWidth="10" defaultRowHeight="16"/>
  <sheetData>
    <row r="12" spans="3:10">
      <c r="I12" t="s">
        <v>4</v>
      </c>
      <c r="J12" t="s">
        <v>3</v>
      </c>
    </row>
    <row r="13" spans="3:10">
      <c r="I13" t="s">
        <v>6</v>
      </c>
      <c r="J13">
        <v>536</v>
      </c>
    </row>
    <row r="14" spans="3:10">
      <c r="I14" t="s">
        <v>5</v>
      </c>
      <c r="J14">
        <v>541</v>
      </c>
    </row>
    <row r="15" spans="3:10">
      <c r="C15" s="2" t="s">
        <v>0</v>
      </c>
      <c r="D15" s="2" t="s">
        <v>2</v>
      </c>
      <c r="E15" s="2" t="s">
        <v>1</v>
      </c>
      <c r="I15" t="s">
        <v>7</v>
      </c>
      <c r="J15">
        <v>533</v>
      </c>
    </row>
    <row r="16" spans="3:10">
      <c r="C16" s="1">
        <v>43160</v>
      </c>
      <c r="D16">
        <v>500</v>
      </c>
      <c r="E16" s="6">
        <v>500</v>
      </c>
      <c r="I16" t="s">
        <v>8</v>
      </c>
      <c r="J16">
        <v>531</v>
      </c>
    </row>
    <row r="17" spans="3:10">
      <c r="C17" s="1">
        <v>43161</v>
      </c>
      <c r="D17">
        <f ca="1">D16+RANDBETWEEN(-8,8)</f>
        <v>505</v>
      </c>
      <c r="E17" s="6">
        <v>500</v>
      </c>
      <c r="I17" t="s">
        <v>9</v>
      </c>
      <c r="J17">
        <v>525</v>
      </c>
    </row>
    <row r="18" spans="3:10">
      <c r="C18" s="1">
        <v>43162</v>
      </c>
      <c r="D18">
        <f t="shared" ref="D18:D45" ca="1" si="0">D17+RANDBETWEEN(-8,8)</f>
        <v>502</v>
      </c>
      <c r="E18" s="6">
        <v>494</v>
      </c>
      <c r="I18" t="s">
        <v>10</v>
      </c>
      <c r="J18">
        <v>529</v>
      </c>
    </row>
    <row r="19" spans="3:10">
      <c r="C19" s="1">
        <v>43163</v>
      </c>
      <c r="D19">
        <f t="shared" ca="1" si="0"/>
        <v>510</v>
      </c>
      <c r="E19" s="6">
        <v>492</v>
      </c>
      <c r="I19" t="s">
        <v>11</v>
      </c>
      <c r="J19">
        <v>530</v>
      </c>
    </row>
    <row r="20" spans="3:10">
      <c r="C20" s="1">
        <v>43164</v>
      </c>
      <c r="D20">
        <f t="shared" ca="1" si="0"/>
        <v>517</v>
      </c>
      <c r="E20" s="6">
        <v>484</v>
      </c>
      <c r="I20" t="s">
        <v>12</v>
      </c>
      <c r="J20">
        <v>527</v>
      </c>
    </row>
    <row r="21" spans="3:10">
      <c r="C21" s="1">
        <v>43165</v>
      </c>
      <c r="D21">
        <f t="shared" ca="1" si="0"/>
        <v>521</v>
      </c>
      <c r="E21" s="6">
        <v>488</v>
      </c>
      <c r="I21" t="s">
        <v>13</v>
      </c>
      <c r="J21">
        <v>525</v>
      </c>
    </row>
    <row r="22" spans="3:10">
      <c r="C22" s="1">
        <v>43166</v>
      </c>
      <c r="D22">
        <f t="shared" ca="1" si="0"/>
        <v>529</v>
      </c>
      <c r="E22" s="6">
        <v>493</v>
      </c>
      <c r="I22" t="s">
        <v>14</v>
      </c>
      <c r="J22">
        <v>523</v>
      </c>
    </row>
    <row r="23" spans="3:10">
      <c r="C23" s="1">
        <v>43167</v>
      </c>
      <c r="D23">
        <f t="shared" ca="1" si="0"/>
        <v>531</v>
      </c>
      <c r="E23" s="6">
        <v>494</v>
      </c>
      <c r="I23" t="s">
        <v>15</v>
      </c>
      <c r="J23">
        <v>523</v>
      </c>
    </row>
    <row r="24" spans="3:10">
      <c r="C24" s="1">
        <v>43168</v>
      </c>
      <c r="D24">
        <f t="shared" ca="1" si="0"/>
        <v>524</v>
      </c>
      <c r="E24" s="6">
        <v>488</v>
      </c>
      <c r="I24" t="s">
        <v>16</v>
      </c>
      <c r="J24">
        <v>518</v>
      </c>
    </row>
    <row r="25" spans="3:10">
      <c r="C25" s="1">
        <v>43169</v>
      </c>
      <c r="D25">
        <f t="shared" ca="1" si="0"/>
        <v>523</v>
      </c>
      <c r="E25" s="6">
        <v>479</v>
      </c>
      <c r="I25" t="s">
        <v>17</v>
      </c>
      <c r="J25">
        <v>522</v>
      </c>
    </row>
    <row r="26" spans="3:10">
      <c r="C26" s="1">
        <v>43170</v>
      </c>
      <c r="D26">
        <f t="shared" ca="1" si="0"/>
        <v>523</v>
      </c>
      <c r="E26" s="7">
        <v>486</v>
      </c>
      <c r="I26" t="s">
        <v>18</v>
      </c>
      <c r="J26">
        <v>527</v>
      </c>
    </row>
    <row r="27" spans="3:10">
      <c r="C27" s="1">
        <v>43171</v>
      </c>
      <c r="D27">
        <f t="shared" ca="1" si="0"/>
        <v>523</v>
      </c>
      <c r="E27" s="7">
        <v>501</v>
      </c>
      <c r="I27" t="s">
        <v>19</v>
      </c>
      <c r="J27">
        <v>533</v>
      </c>
    </row>
    <row r="28" spans="3:10">
      <c r="C28" s="1">
        <v>43172</v>
      </c>
      <c r="D28">
        <f t="shared" ca="1" si="0"/>
        <v>525</v>
      </c>
      <c r="E28" s="7">
        <v>498</v>
      </c>
      <c r="I28" t="s">
        <v>20</v>
      </c>
      <c r="J28">
        <v>537</v>
      </c>
    </row>
    <row r="29" spans="3:10">
      <c r="C29" s="1">
        <v>43173</v>
      </c>
      <c r="D29">
        <f t="shared" ca="1" si="0"/>
        <v>528</v>
      </c>
      <c r="E29" s="13">
        <v>502</v>
      </c>
      <c r="I29" t="s">
        <v>21</v>
      </c>
    </row>
    <row r="30" spans="3:10">
      <c r="C30" s="1">
        <v>43174</v>
      </c>
      <c r="D30">
        <f t="shared" ca="1" si="0"/>
        <v>536</v>
      </c>
      <c r="E30" s="13">
        <v>536</v>
      </c>
    </row>
    <row r="31" spans="3:10">
      <c r="C31" s="1">
        <v>43175</v>
      </c>
      <c r="D31">
        <f t="shared" ca="1" si="0"/>
        <v>541</v>
      </c>
      <c r="E31" s="13">
        <v>541</v>
      </c>
    </row>
    <row r="32" spans="3:10">
      <c r="C32" s="1">
        <v>43176</v>
      </c>
      <c r="D32">
        <f t="shared" ca="1" si="0"/>
        <v>533</v>
      </c>
      <c r="E32" s="13">
        <v>533</v>
      </c>
    </row>
    <row r="33" spans="3:5">
      <c r="C33" s="1">
        <v>43177</v>
      </c>
      <c r="D33">
        <f t="shared" ca="1" si="0"/>
        <v>531</v>
      </c>
      <c r="E33" s="13">
        <v>531</v>
      </c>
    </row>
    <row r="34" spans="3:5">
      <c r="C34" s="1">
        <v>43178</v>
      </c>
      <c r="D34">
        <f t="shared" ca="1" si="0"/>
        <v>525</v>
      </c>
      <c r="E34" s="13">
        <v>525</v>
      </c>
    </row>
    <row r="35" spans="3:5">
      <c r="C35" s="1">
        <v>43179</v>
      </c>
      <c r="D35">
        <f t="shared" ca="1" si="0"/>
        <v>529</v>
      </c>
      <c r="E35" s="13">
        <v>529</v>
      </c>
    </row>
    <row r="36" spans="3:5">
      <c r="C36" s="1">
        <v>43180</v>
      </c>
      <c r="D36">
        <f t="shared" ca="1" si="0"/>
        <v>530</v>
      </c>
      <c r="E36" s="13">
        <v>530</v>
      </c>
    </row>
    <row r="37" spans="3:5">
      <c r="C37" s="1">
        <v>43181</v>
      </c>
      <c r="D37">
        <f t="shared" ca="1" si="0"/>
        <v>527</v>
      </c>
      <c r="E37" s="5">
        <v>527</v>
      </c>
    </row>
    <row r="38" spans="3:5">
      <c r="C38" s="1">
        <v>43182</v>
      </c>
      <c r="D38">
        <f t="shared" ca="1" si="0"/>
        <v>525</v>
      </c>
      <c r="E38" s="5">
        <v>525</v>
      </c>
    </row>
    <row r="39" spans="3:5">
      <c r="C39" s="1">
        <v>43183</v>
      </c>
      <c r="D39">
        <f t="shared" ca="1" si="0"/>
        <v>523</v>
      </c>
      <c r="E39" s="5">
        <v>523</v>
      </c>
    </row>
    <row r="40" spans="3:5">
      <c r="C40" s="1">
        <v>43184</v>
      </c>
      <c r="D40">
        <f t="shared" ca="1" si="0"/>
        <v>523</v>
      </c>
      <c r="E40" s="5">
        <v>523</v>
      </c>
    </row>
    <row r="41" spans="3:5">
      <c r="C41" s="1">
        <v>43185</v>
      </c>
      <c r="D41">
        <f t="shared" ca="1" si="0"/>
        <v>518</v>
      </c>
      <c r="E41" s="5">
        <v>518</v>
      </c>
    </row>
    <row r="42" spans="3:5">
      <c r="C42" s="1">
        <v>43186</v>
      </c>
      <c r="D42">
        <f t="shared" ca="1" si="0"/>
        <v>522</v>
      </c>
      <c r="E42" s="5">
        <v>522</v>
      </c>
    </row>
    <row r="43" spans="3:5">
      <c r="C43" s="1">
        <v>43187</v>
      </c>
      <c r="D43">
        <f t="shared" ca="1" si="0"/>
        <v>527</v>
      </c>
      <c r="E43" s="5">
        <v>527</v>
      </c>
    </row>
    <row r="44" spans="3:5">
      <c r="C44" s="1">
        <v>43188</v>
      </c>
      <c r="D44">
        <f t="shared" ca="1" si="0"/>
        <v>533</v>
      </c>
      <c r="E44" s="5">
        <v>533</v>
      </c>
    </row>
    <row r="45" spans="3:5">
      <c r="C45" s="1">
        <v>43189</v>
      </c>
      <c r="D45">
        <f t="shared" ca="1" si="0"/>
        <v>537</v>
      </c>
      <c r="E45" s="5">
        <v>537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8</vt:i4>
      </vt:variant>
    </vt:vector>
  </HeadingPairs>
  <TitlesOfParts>
    <vt:vector size="11" baseType="lpstr">
      <vt:lpstr>Macro</vt:lpstr>
      <vt:lpstr>NE</vt:lpstr>
      <vt:lpstr>SE foo</vt:lpstr>
      <vt:lpstr>AreaNames</vt:lpstr>
      <vt:lpstr>Holidays</vt:lpstr>
      <vt:lpstr>NEFcastHist</vt:lpstr>
      <vt:lpstr>NEPrevFcast</vt:lpstr>
      <vt:lpstr>NextDate</vt:lpstr>
      <vt:lpstr>SEFcastHist</vt:lpstr>
      <vt:lpstr>SEPrevFcast</vt:lpstr>
      <vt:lpstr>ThisDate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2018-03-13T00:58:05Z</dcterms:created>
  <dcterms:modified xsi:type="dcterms:W3CDTF">2018-03-15T17:10:41Z</dcterms:modified>
</cp:coreProperties>
</file>